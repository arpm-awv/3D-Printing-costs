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wv\Documents\XL\3D-Printing-costs\"/>
    </mc:Choice>
  </mc:AlternateContent>
  <xr:revisionPtr revIDLastSave="0" documentId="8_{02B357EA-A4CB-45F4-9946-6C7972F602AF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Quote" sheetId="1" r:id="rId1"/>
    <sheet name="Printers" sheetId="2" r:id="rId2"/>
    <sheet name="Materials" sheetId="3" r:id="rId3"/>
    <sheet name="Genera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C40" i="1" l="1"/>
  <c r="B25" i="1"/>
  <c r="H10" i="3"/>
  <c r="I10" i="3"/>
  <c r="H9" i="3"/>
  <c r="H11" i="3"/>
  <c r="H12" i="3"/>
  <c r="I9" i="3"/>
  <c r="I11" i="3"/>
  <c r="I12" i="3"/>
  <c r="G5" i="2"/>
  <c r="H8" i="3"/>
  <c r="I8" i="3"/>
  <c r="H6" i="1" l="1"/>
  <c r="D11" i="1" l="1"/>
  <c r="G4" i="2" l="1"/>
  <c r="H7" i="3"/>
  <c r="I7" i="3"/>
  <c r="H6" i="3"/>
  <c r="I6" i="3"/>
  <c r="I5" i="3"/>
  <c r="H5" i="3"/>
  <c r="I4" i="3"/>
  <c r="H4" i="3"/>
  <c r="I3" i="3"/>
  <c r="H3" i="3"/>
  <c r="H7" i="1" l="1"/>
  <c r="G7" i="1"/>
  <c r="G3" i="1"/>
  <c r="G4" i="1"/>
  <c r="C1" i="3"/>
  <c r="C46" i="1"/>
  <c r="C43" i="1"/>
  <c r="C37" i="1"/>
  <c r="B37" i="1"/>
  <c r="C39" i="1"/>
  <c r="C38" i="1"/>
  <c r="C33" i="1"/>
  <c r="C34" i="1"/>
  <c r="C35" i="1"/>
  <c r="C36" i="1"/>
  <c r="C32" i="1"/>
  <c r="B36" i="1"/>
  <c r="B19" i="1"/>
  <c r="B35" i="1" s="1"/>
  <c r="C28" i="1"/>
  <c r="D12" i="1"/>
  <c r="B33" i="1" s="1"/>
  <c r="G3" i="2"/>
  <c r="G2" i="2"/>
  <c r="G1" i="2"/>
  <c r="B40" i="1" l="1"/>
  <c r="B44" i="1" s="1"/>
  <c r="B34" i="1"/>
  <c r="G5" i="1"/>
  <c r="E1" i="2"/>
  <c r="C1" i="2"/>
  <c r="I1" i="3"/>
  <c r="C3" i="4"/>
  <c r="C2" i="4"/>
  <c r="H2" i="3"/>
  <c r="I2" i="3"/>
  <c r="B32" i="1" s="1"/>
  <c r="B38" i="1" l="1"/>
  <c r="B39" i="1" s="1"/>
  <c r="B43" i="1" s="1"/>
  <c r="B45" i="1" s="1"/>
  <c r="G6" i="1" s="1"/>
</calcChain>
</file>

<file path=xl/sharedStrings.xml><?xml version="1.0" encoding="utf-8"?>
<sst xmlns="http://schemas.openxmlformats.org/spreadsheetml/2006/main" count="90" uniqueCount="75">
  <si>
    <t>Name</t>
  </si>
  <si>
    <t>Energy Consumption [kWh/h]</t>
  </si>
  <si>
    <t>Depreciation Time [h]</t>
  </si>
  <si>
    <t>CR-10</t>
  </si>
  <si>
    <t>Material Diameter [mm]</t>
  </si>
  <si>
    <t>Energy cost</t>
  </si>
  <si>
    <t>Labor Costs</t>
  </si>
  <si>
    <t>Prusa i3 MK2s</t>
  </si>
  <si>
    <t>Spool Size [kg]</t>
  </si>
  <si>
    <t>Diameter [mm]</t>
  </si>
  <si>
    <t>Manufacturer</t>
  </si>
  <si>
    <t>Nozzel Temp [°C]</t>
  </si>
  <si>
    <t>Bed Temp [°C]</t>
  </si>
  <si>
    <t>Length per roll [m]</t>
  </si>
  <si>
    <t>Density [g/cm³]</t>
  </si>
  <si>
    <t>Money unit</t>
  </si>
  <si>
    <t>Customer</t>
  </si>
  <si>
    <t>Date</t>
  </si>
  <si>
    <t>Description</t>
  </si>
  <si>
    <t>Filament</t>
  </si>
  <si>
    <t>Weight</t>
  </si>
  <si>
    <t>Printing time</t>
  </si>
  <si>
    <t>g</t>
  </si>
  <si>
    <t>min</t>
  </si>
  <si>
    <t>hh:mm</t>
  </si>
  <si>
    <t>h</t>
  </si>
  <si>
    <t>Preparation</t>
  </si>
  <si>
    <t>Slicing (Supports, Parameters…)</t>
  </si>
  <si>
    <t>Model preparation (Fixing, CAD…)</t>
  </si>
  <si>
    <t>Material change</t>
  </si>
  <si>
    <t>Transfer &amp; Start</t>
  </si>
  <si>
    <t>Job removal</t>
  </si>
  <si>
    <t>Support removal</t>
  </si>
  <si>
    <t>Additional work</t>
  </si>
  <si>
    <t>Failure rate</t>
  </si>
  <si>
    <t>%</t>
  </si>
  <si>
    <t>Costs</t>
  </si>
  <si>
    <t>Electricity</t>
  </si>
  <si>
    <t>Consumables</t>
  </si>
  <si>
    <t>Printer</t>
  </si>
  <si>
    <t>Sum</t>
  </si>
  <si>
    <t>Post-processing</t>
  </si>
  <si>
    <t>Including failures</t>
  </si>
  <si>
    <t>Summary</t>
  </si>
  <si>
    <t>g || filament</t>
  </si>
  <si>
    <t>h || printing time</t>
  </si>
  <si>
    <t>Quote</t>
  </si>
  <si>
    <t>General print details</t>
  </si>
  <si>
    <t>Printer depreciation</t>
  </si>
  <si>
    <t>Miscellaneous</t>
  </si>
  <si>
    <t>Customer details</t>
  </si>
  <si>
    <t>Ultimaker 3 Extended</t>
  </si>
  <si>
    <t>m</t>
  </si>
  <si>
    <t>MULTEC Multirap M420</t>
  </si>
  <si>
    <t>Bambu Lab X1-Carbon</t>
  </si>
  <si>
    <t>Bambu Lab PLA Matte Charcoal</t>
  </si>
  <si>
    <t>Bambu Lab PLA Matte Ivory</t>
  </si>
  <si>
    <t>Bambu Lab PLA Matte Red</t>
  </si>
  <si>
    <t>Bambu Lab PLA Matte Dark Blue</t>
  </si>
  <si>
    <t>Bambu Lab PLA Matte Yellow</t>
  </si>
  <si>
    <t>Bambu Lab PETG-CF Black</t>
  </si>
  <si>
    <t>Bambu Lab PETG-CF Titan Gray</t>
  </si>
  <si>
    <t>Bambu Lab PLA Matte Grass Green</t>
  </si>
  <si>
    <t>Bambu Lab PLA Matte Desert Tan</t>
  </si>
  <si>
    <t>Bambu Lab PLA Matte Marine Blue</t>
  </si>
  <si>
    <t>Bambu Lab PLA Matte Ash Grey</t>
  </si>
  <si>
    <t>$</t>
  </si>
  <si>
    <t>Materials Subtotal</t>
  </si>
  <si>
    <t>Labor Total</t>
  </si>
  <si>
    <t>Materials Markup</t>
  </si>
  <si>
    <t>Quoted price</t>
  </si>
  <si>
    <t>Materials Price</t>
  </si>
  <si>
    <t>Labor Price</t>
  </si>
  <si>
    <t>Materials and Labor Total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</si>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</sst>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0.000"/>
    <numFmt numFmtId="166" formatCode="0.0"/>
    <numFmt numFmtId="167" formatCode="_-* #,##0.00\ &quot;$&quot;_-;\-* #,##0.00\ &quot;$&quot;_-;_-* &quot;-&quot;??\ &quot;$&quot;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2" fontId="0" fillId="0" borderId="0" xfId="0" applyNumberFormat="1"/>
    <xf numFmtId="0" fontId="2" fillId="0" borderId="0" xfId="0" applyFont="1"/>
    <xf numFmtId="1" fontId="0" fillId="2" borderId="3" xfId="0" applyNumberFormat="1" applyFill="1" applyBorder="1"/>
    <xf numFmtId="0" fontId="2" fillId="2" borderId="4" xfId="0" applyFont="1" applyFill="1" applyBorder="1"/>
    <xf numFmtId="166" fontId="0" fillId="2" borderId="3" xfId="0" applyNumberFormat="1" applyFill="1" applyBorder="1"/>
    <xf numFmtId="2" fontId="0" fillId="2" borderId="3" xfId="0" applyNumberFormat="1" applyFill="1" applyBorder="1"/>
    <xf numFmtId="2" fontId="4" fillId="2" borderId="5" xfId="0" applyNumberFormat="1" applyFont="1" applyFill="1" applyBorder="1"/>
    <xf numFmtId="0" fontId="2" fillId="2" borderId="6" xfId="0" applyFont="1" applyFill="1" applyBorder="1"/>
    <xf numFmtId="14" fontId="0" fillId="4" borderId="0" xfId="0" applyNumberFormat="1" applyFill="1"/>
    <xf numFmtId="0" fontId="0" fillId="4" borderId="0" xfId="0" applyFill="1"/>
    <xf numFmtId="49" fontId="0" fillId="4" borderId="0" xfId="0" applyNumberFormat="1" applyFill="1" applyAlignment="1">
      <alignment horizontal="right"/>
    </xf>
    <xf numFmtId="166" fontId="0" fillId="5" borderId="0" xfId="0" applyNumberFormat="1" applyFill="1"/>
    <xf numFmtId="0" fontId="1" fillId="0" borderId="0" xfId="0" applyFont="1" applyAlignment="1">
      <alignment horizontal="right"/>
    </xf>
    <xf numFmtId="9" fontId="0" fillId="4" borderId="0" xfId="0" applyNumberFormat="1" applyFill="1"/>
    <xf numFmtId="2" fontId="1" fillId="6" borderId="0" xfId="0" applyNumberFormat="1" applyFont="1" applyFill="1"/>
    <xf numFmtId="2" fontId="0" fillId="3" borderId="0" xfId="0" applyNumberFormat="1" applyFill="1"/>
    <xf numFmtId="2" fontId="1" fillId="4" borderId="0" xfId="0" applyNumberFormat="1" applyFont="1" applyFill="1"/>
    <xf numFmtId="0" fontId="3" fillId="0" borderId="0" xfId="0" applyFont="1" applyAlignment="1">
      <alignment horizontal="right"/>
    </xf>
    <xf numFmtId="0" fontId="1" fillId="5" borderId="0" xfId="0" applyFont="1" applyFill="1"/>
    <xf numFmtId="2" fontId="0" fillId="4" borderId="0" xfId="0" applyNumberFormat="1" applyFill="1"/>
    <xf numFmtId="1" fontId="0" fillId="5" borderId="0" xfId="0" applyNumberFormat="1" applyFill="1"/>
    <xf numFmtId="0" fontId="0" fillId="5" borderId="0" xfId="0" applyFill="1"/>
    <xf numFmtId="165" fontId="0" fillId="4" borderId="0" xfId="0" applyNumberFormat="1" applyFill="1"/>
    <xf numFmtId="2" fontId="0" fillId="5" borderId="0" xfId="0" applyNumberFormat="1" applyFill="1"/>
    <xf numFmtId="0" fontId="0" fillId="4" borderId="0" xfId="0" applyFill="1" applyAlignment="1">
      <alignment horizontal="right"/>
    </xf>
    <xf numFmtId="0" fontId="5" fillId="0" borderId="0" xfId="0" applyFont="1"/>
    <xf numFmtId="167" fontId="0" fillId="4" borderId="0" xfId="1" applyNumberFormat="1" applyFont="1" applyFill="1"/>
    <xf numFmtId="167" fontId="0" fillId="4" borderId="0" xfId="0" applyNumberFormat="1" applyFill="1"/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E3-42A3-A106-EBDCFA4F70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6E3-42A3-A106-EBDCFA4F70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E3-42A3-A106-EBDCFA4F70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6E3-42A3-A106-EBDCFA4F7012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6E3-42A3-A106-EBDCFA4F7012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76E3-42A3-A106-EBDCFA4F7012}"/>
                </c:ext>
              </c:extLst>
            </c:dLbl>
            <c:dLbl>
              <c:idx val="2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76E3-42A3-A106-EBDCFA4F7012}"/>
                </c:ext>
              </c:extLst>
            </c:dLbl>
            <c:dLbl>
              <c:idx val="3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76E3-42A3-A106-EBDCFA4F701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Quote!$A$32:$A$37</c15:sqref>
                  </c15:fullRef>
                </c:ext>
              </c:extLst>
              <c:f>(Quote!$A$32,Quote!$A$35:$A$37)</c:f>
              <c:strCache>
                <c:ptCount val="4"/>
                <c:pt idx="0">
                  <c:v>Filament</c:v>
                </c:pt>
                <c:pt idx="1">
                  <c:v>Preparation</c:v>
                </c:pt>
                <c:pt idx="2">
                  <c:v>Post-processing</c:v>
                </c:pt>
                <c:pt idx="3">
                  <c:v>Consumables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Quote!$B$32:$B$37</c15:sqref>
                  </c15:fullRef>
                </c:ext>
              </c:extLst>
              <c:f>(Quote!$B$32,Quote!$B$35:$B$37)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Quote!$B$33</c15:sqref>
                  <c15:spPr xmlns:c15="http://schemas.microsoft.com/office/drawing/2012/chart"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  <c15:dLbl>
                    <c:idx val="0"/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9-AA50-4F18-9A87-16DF704A6555}"/>
                      </c:ext>
                    </c:extLst>
                  </c15:dLbl>
                </c15:categoryFilterException>
                <c15:categoryFilterException>
                  <c15:sqref>Quote!$B$34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  <c15:dLbl>
                    <c:idx val="0"/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B-AA50-4F18-9A87-16DF704A6555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76E3-42A3-A106-EBDCFA4F701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8</xdr:row>
      <xdr:rowOff>76198</xdr:rowOff>
    </xdr:from>
    <xdr:to>
      <xdr:col>10</xdr:col>
      <xdr:colOff>657225</xdr:colOff>
      <xdr:row>30</xdr:row>
      <xdr:rowOff>104774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D3E1A45-E39E-408F-AC4E-ACCCDA26B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/>
  </sheetPr>
  <dimension ref="A1:H46"/>
  <sheetViews>
    <sheetView tabSelected="1" zoomScaleNormal="100" workbookViewId="0">
      <selection activeCell="A3" sqref="A3"/>
    </sheetView>
  </sheetViews>
  <sheetFormatPr defaultColWidth="11.42578125" defaultRowHeight="15" x14ac:dyDescent="0.25"/>
  <cols>
    <col min="1" max="1" width="31.28515625" bestFit="1" customWidth="1"/>
    <col min="2" max="2" width="15" customWidth="1"/>
    <col min="7" max="7" width="18.140625" customWidth="1"/>
    <col min="8" max="8" width="19" customWidth="1"/>
  </cols>
  <sheetData>
    <row r="1" spans="1:8" ht="15.75" thickBot="1" x14ac:dyDescent="0.3"/>
    <row r="2" spans="1:8" ht="21" x14ac:dyDescent="0.35">
      <c r="A2" s="35" t="s">
        <v>50</v>
      </c>
      <c r="B2" s="35"/>
      <c r="C2" s="35"/>
      <c r="G2" s="33" t="s">
        <v>43</v>
      </c>
      <c r="H2" s="34"/>
    </row>
    <row r="3" spans="1:8" x14ac:dyDescent="0.25">
      <c r="A3" s="15" t="s">
        <v>16</v>
      </c>
      <c r="B3" s="37"/>
      <c r="C3" s="37"/>
      <c r="G3" s="31" t="str">
        <f>B10</f>
        <v>Bambu Lab PLA Matte Charcoal</v>
      </c>
      <c r="H3" s="32"/>
    </row>
    <row r="4" spans="1:8" x14ac:dyDescent="0.25">
      <c r="A4" s="15" t="s">
        <v>17</v>
      </c>
      <c r="B4" s="11"/>
      <c r="G4" s="5">
        <f>B11</f>
        <v>0</v>
      </c>
      <c r="H4" s="6" t="s">
        <v>44</v>
      </c>
    </row>
    <row r="5" spans="1:8" x14ac:dyDescent="0.25">
      <c r="A5" s="15" t="s">
        <v>18</v>
      </c>
      <c r="B5" s="36"/>
      <c r="C5" s="36"/>
      <c r="D5" s="36"/>
      <c r="G5" s="7" t="e">
        <f>D12</f>
        <v>#VALUE!</v>
      </c>
      <c r="H5" s="6" t="s">
        <v>45</v>
      </c>
    </row>
    <row r="6" spans="1:8" x14ac:dyDescent="0.25">
      <c r="G6" s="8" t="e">
        <f>B45</f>
        <v>#VALUE!</v>
      </c>
      <c r="H6" s="6" t="str">
        <f>General!$B$5&amp;" || suggested price"</f>
        <v>$ || suggested price</v>
      </c>
    </row>
    <row r="7" spans="1:8" ht="16.5" thickBot="1" x14ac:dyDescent="0.3">
      <c r="G7" s="9">
        <f>B46</f>
        <v>0</v>
      </c>
      <c r="H7" s="10" t="str">
        <f>General!$B$5&amp;" || quoted"</f>
        <v>$ || quoted</v>
      </c>
    </row>
    <row r="8" spans="1:8" ht="18.75" x14ac:dyDescent="0.3">
      <c r="A8" s="35" t="s">
        <v>47</v>
      </c>
      <c r="B8" s="35"/>
      <c r="C8" s="35"/>
    </row>
    <row r="9" spans="1:8" x14ac:dyDescent="0.25">
      <c r="A9" s="20" t="s">
        <v>39</v>
      </c>
      <c r="B9" s="38" t="s">
        <v>54</v>
      </c>
      <c r="C9" s="38"/>
    </row>
    <row r="10" spans="1:8" x14ac:dyDescent="0.25">
      <c r="A10" s="20" t="s">
        <v>19</v>
      </c>
      <c r="B10" s="38" t="s">
        <v>55</v>
      </c>
      <c r="C10" s="38"/>
    </row>
    <row r="11" spans="1:8" x14ac:dyDescent="0.25">
      <c r="A11" s="20" t="s">
        <v>20</v>
      </c>
      <c r="B11" s="12">
        <v>0</v>
      </c>
      <c r="C11" s="4" t="s">
        <v>22</v>
      </c>
      <c r="D11" s="14">
        <f>(B11/VLOOKUP(B10,Materials!A2:I101,5,FALSE))*4/(VLOOKUP(B10,Materials!A2:I101,2,FALSE)^2*PI())</f>
        <v>0</v>
      </c>
      <c r="E11" t="s">
        <v>52</v>
      </c>
    </row>
    <row r="12" spans="1:8" x14ac:dyDescent="0.25">
      <c r="A12" s="20" t="s">
        <v>21</v>
      </c>
      <c r="B12" s="13" t="s">
        <v>74</v>
      </c>
      <c r="C12" s="4" t="s">
        <v>24</v>
      </c>
      <c r="D12" s="14" t="e">
        <f>LEFT(B12,FIND(":",B12)-1)+RIGHT(B12,LEN(B12)-FIND(":",B12))/60</f>
        <v>#VALUE!</v>
      </c>
      <c r="E12" s="4" t="s">
        <v>25</v>
      </c>
    </row>
    <row r="13" spans="1:8" x14ac:dyDescent="0.25">
      <c r="C13" s="4"/>
    </row>
    <row r="14" spans="1:8" ht="18.75" x14ac:dyDescent="0.3">
      <c r="A14" s="35" t="s">
        <v>26</v>
      </c>
      <c r="B14" s="35"/>
      <c r="C14" s="35"/>
    </row>
    <row r="15" spans="1:8" x14ac:dyDescent="0.25">
      <c r="A15" s="20" t="s">
        <v>28</v>
      </c>
      <c r="B15" s="12">
        <v>0</v>
      </c>
      <c r="C15" s="4" t="s">
        <v>23</v>
      </c>
    </row>
    <row r="16" spans="1:8" x14ac:dyDescent="0.25">
      <c r="A16" s="20" t="s">
        <v>27</v>
      </c>
      <c r="B16" s="12">
        <v>0</v>
      </c>
      <c r="C16" s="4" t="s">
        <v>23</v>
      </c>
    </row>
    <row r="17" spans="1:5" x14ac:dyDescent="0.25">
      <c r="A17" s="20" t="s">
        <v>29</v>
      </c>
      <c r="B17" s="12">
        <v>0</v>
      </c>
      <c r="C17" s="4" t="s">
        <v>23</v>
      </c>
    </row>
    <row r="18" spans="1:5" x14ac:dyDescent="0.25">
      <c r="A18" s="20" t="s">
        <v>30</v>
      </c>
      <c r="B18" s="12">
        <v>0</v>
      </c>
      <c r="C18" s="4" t="s">
        <v>23</v>
      </c>
    </row>
    <row r="19" spans="1:5" x14ac:dyDescent="0.25">
      <c r="A19" s="20" t="s">
        <v>40</v>
      </c>
      <c r="B19" s="21">
        <f>SUM(B15:B18)</f>
        <v>0</v>
      </c>
      <c r="C19" s="4" t="s">
        <v>23</v>
      </c>
    </row>
    <row r="20" spans="1:5" x14ac:dyDescent="0.25">
      <c r="C20" s="4"/>
    </row>
    <row r="21" spans="1:5" ht="18.75" x14ac:dyDescent="0.3">
      <c r="A21" s="35" t="s">
        <v>41</v>
      </c>
      <c r="B21" s="35"/>
      <c r="C21" s="35"/>
    </row>
    <row r="22" spans="1:5" x14ac:dyDescent="0.25">
      <c r="A22" s="20" t="s">
        <v>31</v>
      </c>
      <c r="B22" s="12">
        <v>0</v>
      </c>
      <c r="C22" s="4" t="s">
        <v>23</v>
      </c>
    </row>
    <row r="23" spans="1:5" x14ac:dyDescent="0.25">
      <c r="A23" s="20" t="s">
        <v>32</v>
      </c>
      <c r="B23" s="12">
        <v>0</v>
      </c>
      <c r="C23" s="4" t="s">
        <v>23</v>
      </c>
    </row>
    <row r="24" spans="1:5" x14ac:dyDescent="0.25">
      <c r="A24" s="20" t="s">
        <v>33</v>
      </c>
      <c r="B24" s="12">
        <v>0</v>
      </c>
      <c r="C24" s="4" t="s">
        <v>23</v>
      </c>
    </row>
    <row r="25" spans="1:5" x14ac:dyDescent="0.25">
      <c r="A25" s="20" t="s">
        <v>40</v>
      </c>
      <c r="B25" s="21">
        <f>SUM(B22:B24)</f>
        <v>0</v>
      </c>
      <c r="C25" s="4" t="s">
        <v>23</v>
      </c>
    </row>
    <row r="26" spans="1:5" x14ac:dyDescent="0.25">
      <c r="C26" s="4"/>
    </row>
    <row r="27" spans="1:5" ht="18.75" x14ac:dyDescent="0.3">
      <c r="A27" s="35" t="s">
        <v>49</v>
      </c>
      <c r="B27" s="35"/>
      <c r="C27" s="35"/>
    </row>
    <row r="28" spans="1:5" x14ac:dyDescent="0.25">
      <c r="A28" s="20" t="s">
        <v>38</v>
      </c>
      <c r="B28" s="12">
        <v>0</v>
      </c>
      <c r="C28" s="4" t="str">
        <f>General!B5</f>
        <v>$</v>
      </c>
    </row>
    <row r="29" spans="1:5" x14ac:dyDescent="0.25">
      <c r="C29" s="4"/>
    </row>
    <row r="31" spans="1:5" ht="18.75" x14ac:dyDescent="0.3">
      <c r="A31" s="35" t="s">
        <v>36</v>
      </c>
      <c r="B31" s="35"/>
      <c r="C31" s="35"/>
      <c r="D31" s="28"/>
      <c r="E31" s="28"/>
    </row>
    <row r="32" spans="1:5" x14ac:dyDescent="0.25">
      <c r="A32" s="20" t="s">
        <v>19</v>
      </c>
      <c r="B32" s="18">
        <f>B11/1000*VLOOKUP(B10,Materials!A2:I101,9,FALSE)</f>
        <v>0</v>
      </c>
      <c r="C32" s="4" t="str">
        <f>General!$B$5</f>
        <v>$</v>
      </c>
    </row>
    <row r="33" spans="1:3" x14ac:dyDescent="0.25">
      <c r="A33" s="20" t="s">
        <v>37</v>
      </c>
      <c r="B33" s="18" t="e">
        <f>D12*VLOOKUP(B9,Printers!A2:G100,6,FALSE)*General!B2</f>
        <v>#VALUE!</v>
      </c>
      <c r="C33" s="4" t="str">
        <f>General!$B$5</f>
        <v>$</v>
      </c>
    </row>
    <row r="34" spans="1:3" x14ac:dyDescent="0.25">
      <c r="A34" s="20" t="s">
        <v>48</v>
      </c>
      <c r="B34" s="18" t="e">
        <f>D12*VLOOKUP(B9,Printers!A2:G100,7,FALSE)</f>
        <v>#VALUE!</v>
      </c>
      <c r="C34" s="4" t="str">
        <f>General!$B$5</f>
        <v>$</v>
      </c>
    </row>
    <row r="35" spans="1:3" x14ac:dyDescent="0.25">
      <c r="A35" s="20" t="s">
        <v>26</v>
      </c>
      <c r="B35" s="18">
        <f>B19/60*General!B3</f>
        <v>0</v>
      </c>
      <c r="C35" s="4" t="str">
        <f>General!$B$5</f>
        <v>$</v>
      </c>
    </row>
    <row r="36" spans="1:3" x14ac:dyDescent="0.25">
      <c r="A36" s="20" t="s">
        <v>41</v>
      </c>
      <c r="B36" s="18">
        <f>B25/60*General!B3</f>
        <v>0</v>
      </c>
      <c r="C36" s="4" t="str">
        <f>General!$B$5</f>
        <v>$</v>
      </c>
    </row>
    <row r="37" spans="1:3" x14ac:dyDescent="0.25">
      <c r="A37" s="20" t="s">
        <v>38</v>
      </c>
      <c r="B37" s="18">
        <f>B28</f>
        <v>0</v>
      </c>
      <c r="C37" s="4" t="str">
        <f>General!$B$5</f>
        <v>$</v>
      </c>
    </row>
    <row r="38" spans="1:3" x14ac:dyDescent="0.25">
      <c r="A38" s="20" t="s">
        <v>67</v>
      </c>
      <c r="B38" s="17" t="e">
        <f>SUM(B32:B34)</f>
        <v>#VALUE!</v>
      </c>
      <c r="C38" s="4" t="str">
        <f>General!$B$5</f>
        <v>$</v>
      </c>
    </row>
    <row r="39" spans="1:3" x14ac:dyDescent="0.25">
      <c r="A39" s="20" t="s">
        <v>42</v>
      </c>
      <c r="B39" s="17" t="e">
        <f>B38*(General!B4/100+1)</f>
        <v>#VALUE!</v>
      </c>
      <c r="C39" s="4" t="str">
        <f>General!$B$5</f>
        <v>$</v>
      </c>
    </row>
    <row r="40" spans="1:3" x14ac:dyDescent="0.25">
      <c r="A40" s="20" t="s">
        <v>68</v>
      </c>
      <c r="B40" s="17">
        <f>SUM(B35:B36)</f>
        <v>0</v>
      </c>
      <c r="C40" s="4" t="str">
        <f>General!$B$5</f>
        <v>$</v>
      </c>
    </row>
    <row r="41" spans="1:3" ht="18.75" x14ac:dyDescent="0.3">
      <c r="A41" s="35" t="s">
        <v>46</v>
      </c>
      <c r="B41" s="35"/>
      <c r="C41" s="35"/>
    </row>
    <row r="42" spans="1:3" x14ac:dyDescent="0.25">
      <c r="A42" s="20" t="s">
        <v>69</v>
      </c>
      <c r="B42" s="16">
        <v>5</v>
      </c>
    </row>
    <row r="43" spans="1:3" x14ac:dyDescent="0.25">
      <c r="A43" s="20" t="s">
        <v>71</v>
      </c>
      <c r="B43" s="17" t="e">
        <f>B39*B42</f>
        <v>#VALUE!</v>
      </c>
      <c r="C43" s="4" t="str">
        <f>General!$B$5</f>
        <v>$</v>
      </c>
    </row>
    <row r="44" spans="1:3" x14ac:dyDescent="0.25">
      <c r="A44" s="20" t="s">
        <v>72</v>
      </c>
      <c r="B44" s="17">
        <f>SUM(B40)</f>
        <v>0</v>
      </c>
      <c r="C44" s="4"/>
    </row>
    <row r="45" spans="1:3" x14ac:dyDescent="0.25">
      <c r="A45" s="20" t="s">
        <v>73</v>
      </c>
      <c r="B45" s="17" t="e">
        <f>SUM(B43:B44)</f>
        <v>#VALUE!</v>
      </c>
      <c r="C45" s="4"/>
    </row>
    <row r="46" spans="1:3" x14ac:dyDescent="0.25">
      <c r="A46" s="20" t="s">
        <v>70</v>
      </c>
      <c r="B46" s="19">
        <v>0</v>
      </c>
      <c r="C46" s="4" t="str">
        <f>General!$B$5</f>
        <v>$</v>
      </c>
    </row>
  </sheetData>
  <mergeCells count="13">
    <mergeCell ref="A41:C41"/>
    <mergeCell ref="A8:C8"/>
    <mergeCell ref="A21:C21"/>
    <mergeCell ref="A27:C27"/>
    <mergeCell ref="A31:C31"/>
    <mergeCell ref="A14:C14"/>
    <mergeCell ref="B10:C10"/>
    <mergeCell ref="B9:C9"/>
    <mergeCell ref="G3:H3"/>
    <mergeCell ref="G2:H2"/>
    <mergeCell ref="A2:C2"/>
    <mergeCell ref="B5:D5"/>
    <mergeCell ref="B3:C3"/>
  </mergeCells>
  <pageMargins left="0.7" right="0.7" top="0.78740157499999996" bottom="0.78740157499999996" header="0.3" footer="0.3"/>
  <pageSetup paperSize="9" orientation="portrait" r:id="rId1"/>
  <ignoredErrors>
    <ignoredError sqref="C39 C38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Printers!$A$2:$A$100</xm:f>
          </x14:formula1>
          <xm:sqref>B9</xm:sqref>
        </x14:dataValidation>
        <x14:dataValidation type="list" allowBlank="1" showInputMessage="1" showErrorMessage="1" xr:uid="{00000000-0002-0000-0000-000001000000}">
          <x14:formula1>
            <xm:f>Materials!A2:A101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0"/>
  <sheetViews>
    <sheetView workbookViewId="0">
      <selection activeCell="A7" sqref="A7"/>
    </sheetView>
  </sheetViews>
  <sheetFormatPr defaultColWidth="11.42578125" defaultRowHeight="15" x14ac:dyDescent="0.25"/>
  <cols>
    <col min="1" max="1" width="24.28515625" customWidth="1"/>
    <col min="2" max="2" width="17.28515625" bestFit="1" customWidth="1"/>
    <col min="3" max="3" width="8.28515625" bestFit="1" customWidth="1"/>
    <col min="4" max="4" width="13.85546875" customWidth="1"/>
    <col min="5" max="5" width="15.7109375" customWidth="1"/>
    <col min="6" max="6" width="19" customWidth="1"/>
    <col min="7" max="7" width="16.42578125" customWidth="1"/>
  </cols>
  <sheetData>
    <row r="1" spans="1:7" ht="45" x14ac:dyDescent="0.25">
      <c r="A1" s="2" t="s">
        <v>0</v>
      </c>
      <c r="B1" s="2" t="s">
        <v>4</v>
      </c>
      <c r="C1" s="2" t="str">
        <f>"Price ["&amp;General!B5&amp;"]"</f>
        <v>Price [$]</v>
      </c>
      <c r="D1" s="2" t="s">
        <v>2</v>
      </c>
      <c r="E1" s="2" t="str">
        <f>"Service costs per life ["&amp;General!B5&amp;"]"</f>
        <v>Service costs per life [$]</v>
      </c>
      <c r="F1" s="2" t="s">
        <v>1</v>
      </c>
      <c r="G1" s="2" t="str">
        <f>"Depreciation ["&amp;General!B5&amp;"/h]"</f>
        <v>Depreciation [$/h]</v>
      </c>
    </row>
    <row r="2" spans="1:7" x14ac:dyDescent="0.25">
      <c r="A2" s="12" t="s">
        <v>3</v>
      </c>
      <c r="B2" s="12">
        <v>1.75</v>
      </c>
      <c r="C2" s="12">
        <v>450</v>
      </c>
      <c r="D2" s="12">
        <v>2000</v>
      </c>
      <c r="E2" s="12">
        <v>100</v>
      </c>
      <c r="F2" s="25">
        <v>0.15</v>
      </c>
      <c r="G2" s="26">
        <f>(C2+E2)/D2</f>
        <v>0.27500000000000002</v>
      </c>
    </row>
    <row r="3" spans="1:7" x14ac:dyDescent="0.25">
      <c r="A3" s="12" t="s">
        <v>7</v>
      </c>
      <c r="B3" s="12">
        <v>1.75</v>
      </c>
      <c r="C3" s="12">
        <v>700</v>
      </c>
      <c r="D3" s="12">
        <v>3000</v>
      </c>
      <c r="E3" s="12">
        <v>100</v>
      </c>
      <c r="F3" s="25">
        <v>0.1</v>
      </c>
      <c r="G3" s="26">
        <f>(C3+E3)/D3</f>
        <v>0.26666666666666666</v>
      </c>
    </row>
    <row r="4" spans="1:7" x14ac:dyDescent="0.25">
      <c r="A4" s="12" t="s">
        <v>51</v>
      </c>
      <c r="B4" s="12">
        <v>2.85</v>
      </c>
      <c r="C4" s="12">
        <v>4400</v>
      </c>
      <c r="D4" s="12">
        <v>4000</v>
      </c>
      <c r="E4" s="12">
        <v>250</v>
      </c>
      <c r="F4" s="25">
        <v>0.11</v>
      </c>
      <c r="G4" s="26">
        <f>(C4+E4)/D4</f>
        <v>1.1625000000000001</v>
      </c>
    </row>
    <row r="5" spans="1:7" x14ac:dyDescent="0.25">
      <c r="A5" s="12" t="s">
        <v>53</v>
      </c>
      <c r="B5" s="12">
        <v>2.85</v>
      </c>
      <c r="C5" s="12">
        <v>5549</v>
      </c>
      <c r="D5" s="12">
        <v>5000</v>
      </c>
      <c r="E5" s="12">
        <v>300</v>
      </c>
      <c r="F5" s="25">
        <v>0.12</v>
      </c>
      <c r="G5" s="26">
        <f>(C5+E5)/D5</f>
        <v>1.1698</v>
      </c>
    </row>
    <row r="6" spans="1:7" x14ac:dyDescent="0.25">
      <c r="A6" s="12" t="s">
        <v>54</v>
      </c>
      <c r="B6" s="12">
        <v>1.75</v>
      </c>
      <c r="C6" s="12">
        <v>1600</v>
      </c>
      <c r="D6" s="12">
        <v>10000</v>
      </c>
      <c r="E6" s="12">
        <v>1000</v>
      </c>
      <c r="F6" s="25">
        <v>0.12</v>
      </c>
      <c r="G6" s="24">
        <f>(C6+E6)/D6</f>
        <v>0.26</v>
      </c>
    </row>
    <row r="7" spans="1:7" x14ac:dyDescent="0.25">
      <c r="A7" s="12"/>
      <c r="B7" s="12"/>
      <c r="C7" s="12"/>
      <c r="D7" s="12"/>
      <c r="E7" s="12"/>
      <c r="F7" s="25"/>
      <c r="G7" s="24"/>
    </row>
    <row r="8" spans="1:7" x14ac:dyDescent="0.25">
      <c r="A8" s="12"/>
      <c r="B8" s="12"/>
      <c r="C8" s="12"/>
      <c r="D8" s="12"/>
      <c r="E8" s="12"/>
      <c r="F8" s="25"/>
      <c r="G8" s="24"/>
    </row>
    <row r="9" spans="1:7" x14ac:dyDescent="0.25">
      <c r="A9" s="12"/>
      <c r="B9" s="12"/>
      <c r="C9" s="12"/>
      <c r="D9" s="12"/>
      <c r="E9" s="12"/>
      <c r="F9" s="25"/>
      <c r="G9" s="24"/>
    </row>
    <row r="10" spans="1:7" x14ac:dyDescent="0.25">
      <c r="A10" s="12"/>
      <c r="B10" s="12"/>
      <c r="C10" s="12"/>
      <c r="D10" s="12"/>
      <c r="E10" s="12"/>
      <c r="F10" s="25"/>
      <c r="G10" s="24"/>
    </row>
    <row r="11" spans="1:7" x14ac:dyDescent="0.25">
      <c r="A11" s="12"/>
      <c r="B11" s="12"/>
      <c r="C11" s="12"/>
      <c r="D11" s="12"/>
      <c r="E11" s="12"/>
      <c r="F11" s="25"/>
      <c r="G11" s="24"/>
    </row>
    <row r="12" spans="1:7" x14ac:dyDescent="0.25">
      <c r="A12" s="12"/>
      <c r="B12" s="12"/>
      <c r="C12" s="12"/>
      <c r="D12" s="12"/>
      <c r="E12" s="12"/>
      <c r="F12" s="25"/>
      <c r="G12" s="24"/>
    </row>
    <row r="13" spans="1:7" x14ac:dyDescent="0.25">
      <c r="A13" s="12"/>
      <c r="B13" s="12"/>
      <c r="C13" s="12"/>
      <c r="D13" s="12"/>
      <c r="E13" s="12"/>
      <c r="F13" s="25"/>
      <c r="G13" s="24"/>
    </row>
    <row r="14" spans="1:7" x14ac:dyDescent="0.25">
      <c r="A14" s="12"/>
      <c r="B14" s="12"/>
      <c r="C14" s="12"/>
      <c r="D14" s="12"/>
      <c r="E14" s="12"/>
      <c r="F14" s="25"/>
      <c r="G14" s="24"/>
    </row>
    <row r="15" spans="1:7" x14ac:dyDescent="0.25">
      <c r="A15" s="12"/>
      <c r="B15" s="12"/>
      <c r="C15" s="12"/>
      <c r="D15" s="12"/>
      <c r="E15" s="12"/>
      <c r="F15" s="25"/>
      <c r="G15" s="24"/>
    </row>
    <row r="16" spans="1:7" x14ac:dyDescent="0.25">
      <c r="A16" s="12"/>
      <c r="B16" s="12"/>
      <c r="C16" s="12"/>
      <c r="D16" s="12"/>
      <c r="E16" s="12"/>
      <c r="F16" s="12"/>
      <c r="G16" s="24"/>
    </row>
    <row r="17" spans="1:7" x14ac:dyDescent="0.25">
      <c r="A17" s="12"/>
      <c r="B17" s="12"/>
      <c r="C17" s="12"/>
      <c r="D17" s="12"/>
      <c r="E17" s="12"/>
      <c r="F17" s="12"/>
      <c r="G17" s="24"/>
    </row>
    <row r="18" spans="1:7" x14ac:dyDescent="0.25">
      <c r="A18" s="12"/>
      <c r="B18" s="12"/>
      <c r="C18" s="12"/>
      <c r="D18" s="12"/>
      <c r="E18" s="12"/>
      <c r="F18" s="12"/>
      <c r="G18" s="24"/>
    </row>
    <row r="19" spans="1:7" x14ac:dyDescent="0.25">
      <c r="A19" s="12"/>
      <c r="B19" s="12"/>
      <c r="C19" s="12"/>
      <c r="D19" s="12"/>
      <c r="E19" s="12"/>
      <c r="F19" s="12"/>
      <c r="G19" s="24"/>
    </row>
    <row r="20" spans="1:7" x14ac:dyDescent="0.25">
      <c r="A20" s="12"/>
      <c r="B20" s="12"/>
      <c r="C20" s="12"/>
      <c r="D20" s="12"/>
      <c r="E20" s="12"/>
      <c r="F20" s="12"/>
      <c r="G20" s="24"/>
    </row>
    <row r="21" spans="1:7" x14ac:dyDescent="0.25">
      <c r="A21" s="12"/>
      <c r="B21" s="12"/>
      <c r="C21" s="12"/>
      <c r="D21" s="12"/>
      <c r="E21" s="12"/>
      <c r="F21" s="12"/>
      <c r="G21" s="24"/>
    </row>
    <row r="22" spans="1:7" x14ac:dyDescent="0.25">
      <c r="A22" s="12"/>
      <c r="B22" s="12"/>
      <c r="C22" s="12"/>
      <c r="D22" s="12"/>
      <c r="E22" s="12"/>
      <c r="F22" s="12"/>
      <c r="G22" s="24"/>
    </row>
    <row r="23" spans="1:7" x14ac:dyDescent="0.25">
      <c r="A23" s="12"/>
      <c r="B23" s="12"/>
      <c r="C23" s="12"/>
      <c r="D23" s="12"/>
      <c r="E23" s="12"/>
      <c r="F23" s="12"/>
      <c r="G23" s="24"/>
    </row>
    <row r="24" spans="1:7" x14ac:dyDescent="0.25">
      <c r="A24" s="12"/>
      <c r="B24" s="12"/>
      <c r="C24" s="12"/>
      <c r="D24" s="12"/>
      <c r="E24" s="12"/>
      <c r="F24" s="12"/>
      <c r="G24" s="24"/>
    </row>
    <row r="25" spans="1:7" x14ac:dyDescent="0.25">
      <c r="A25" s="12"/>
      <c r="B25" s="12"/>
      <c r="C25" s="12"/>
      <c r="D25" s="12"/>
      <c r="E25" s="12"/>
      <c r="F25" s="12"/>
      <c r="G25" s="24"/>
    </row>
    <row r="26" spans="1:7" x14ac:dyDescent="0.25">
      <c r="A26" s="12"/>
      <c r="B26" s="12"/>
      <c r="C26" s="12"/>
      <c r="D26" s="12"/>
      <c r="E26" s="12"/>
      <c r="F26" s="12"/>
      <c r="G26" s="24"/>
    </row>
    <row r="27" spans="1:7" x14ac:dyDescent="0.25">
      <c r="A27" s="12"/>
      <c r="B27" s="12"/>
      <c r="C27" s="12"/>
      <c r="D27" s="12"/>
      <c r="E27" s="12"/>
      <c r="F27" s="12"/>
      <c r="G27" s="24"/>
    </row>
    <row r="28" spans="1:7" x14ac:dyDescent="0.25">
      <c r="A28" s="12"/>
      <c r="B28" s="12"/>
      <c r="C28" s="12"/>
      <c r="D28" s="12"/>
      <c r="E28" s="12"/>
      <c r="F28" s="12"/>
      <c r="G28" s="24"/>
    </row>
    <row r="29" spans="1:7" x14ac:dyDescent="0.25">
      <c r="A29" s="12"/>
      <c r="B29" s="12"/>
      <c r="C29" s="12"/>
      <c r="D29" s="12"/>
      <c r="E29" s="12"/>
      <c r="F29" s="12"/>
      <c r="G29" s="24"/>
    </row>
    <row r="30" spans="1:7" x14ac:dyDescent="0.25">
      <c r="A30" s="12"/>
      <c r="B30" s="12"/>
      <c r="C30" s="12"/>
      <c r="D30" s="12"/>
      <c r="E30" s="12"/>
      <c r="F30" s="12"/>
      <c r="G30" s="24"/>
    </row>
    <row r="31" spans="1:7" x14ac:dyDescent="0.25">
      <c r="A31" s="12"/>
      <c r="B31" s="12"/>
      <c r="C31" s="12"/>
      <c r="D31" s="12"/>
      <c r="E31" s="12"/>
      <c r="F31" s="12"/>
      <c r="G31" s="24"/>
    </row>
    <row r="32" spans="1:7" x14ac:dyDescent="0.25">
      <c r="A32" s="12"/>
      <c r="B32" s="12"/>
      <c r="C32" s="12"/>
      <c r="D32" s="12"/>
      <c r="E32" s="12"/>
      <c r="F32" s="12"/>
      <c r="G32" s="24"/>
    </row>
    <row r="33" spans="1:7" x14ac:dyDescent="0.25">
      <c r="A33" s="12"/>
      <c r="B33" s="12"/>
      <c r="C33" s="12"/>
      <c r="D33" s="12"/>
      <c r="E33" s="12"/>
      <c r="F33" s="12"/>
      <c r="G33" s="24"/>
    </row>
    <row r="34" spans="1:7" x14ac:dyDescent="0.25">
      <c r="A34" s="12"/>
      <c r="B34" s="12"/>
      <c r="C34" s="12"/>
      <c r="D34" s="12"/>
      <c r="E34" s="12"/>
      <c r="F34" s="12"/>
      <c r="G34" s="24"/>
    </row>
    <row r="35" spans="1:7" x14ac:dyDescent="0.25">
      <c r="A35" s="12"/>
      <c r="B35" s="12"/>
      <c r="C35" s="12"/>
      <c r="D35" s="12"/>
      <c r="E35" s="12"/>
      <c r="F35" s="12"/>
      <c r="G35" s="24"/>
    </row>
    <row r="36" spans="1:7" x14ac:dyDescent="0.25">
      <c r="A36" s="12"/>
      <c r="B36" s="12"/>
      <c r="C36" s="12"/>
      <c r="D36" s="12"/>
      <c r="E36" s="12"/>
      <c r="F36" s="12"/>
      <c r="G36" s="24"/>
    </row>
    <row r="37" spans="1:7" x14ac:dyDescent="0.25">
      <c r="A37" s="12"/>
      <c r="B37" s="12"/>
      <c r="C37" s="12"/>
      <c r="D37" s="12"/>
      <c r="E37" s="12"/>
      <c r="F37" s="12"/>
      <c r="G37" s="24"/>
    </row>
    <row r="38" spans="1:7" x14ac:dyDescent="0.25">
      <c r="A38" s="12"/>
      <c r="B38" s="12"/>
      <c r="C38" s="12"/>
      <c r="D38" s="12"/>
      <c r="E38" s="12"/>
      <c r="F38" s="12"/>
      <c r="G38" s="24"/>
    </row>
    <row r="39" spans="1:7" x14ac:dyDescent="0.25">
      <c r="A39" s="12"/>
      <c r="B39" s="12"/>
      <c r="C39" s="12"/>
      <c r="D39" s="12"/>
      <c r="E39" s="12"/>
      <c r="F39" s="12"/>
      <c r="G39" s="24"/>
    </row>
    <row r="40" spans="1:7" x14ac:dyDescent="0.25">
      <c r="A40" s="12"/>
      <c r="B40" s="12"/>
      <c r="C40" s="12"/>
      <c r="D40" s="12"/>
      <c r="E40" s="12"/>
      <c r="F40" s="12"/>
      <c r="G40" s="24"/>
    </row>
    <row r="41" spans="1:7" x14ac:dyDescent="0.25">
      <c r="A41" s="12"/>
      <c r="B41" s="12"/>
      <c r="C41" s="12"/>
      <c r="D41" s="12"/>
      <c r="E41" s="12"/>
      <c r="F41" s="12"/>
      <c r="G41" s="24"/>
    </row>
    <row r="42" spans="1:7" x14ac:dyDescent="0.25">
      <c r="A42" s="12"/>
      <c r="B42" s="12"/>
      <c r="C42" s="12"/>
      <c r="D42" s="12"/>
      <c r="E42" s="12"/>
      <c r="F42" s="12"/>
      <c r="G42" s="24"/>
    </row>
    <row r="43" spans="1:7" x14ac:dyDescent="0.25">
      <c r="A43" s="12"/>
      <c r="B43" s="12"/>
      <c r="C43" s="12"/>
      <c r="D43" s="12"/>
      <c r="E43" s="12"/>
      <c r="F43" s="12"/>
      <c r="G43" s="24"/>
    </row>
    <row r="44" spans="1:7" x14ac:dyDescent="0.25">
      <c r="A44" s="12"/>
      <c r="B44" s="12"/>
      <c r="C44" s="12"/>
      <c r="D44" s="12"/>
      <c r="E44" s="12"/>
      <c r="F44" s="12"/>
      <c r="G44" s="24"/>
    </row>
    <row r="45" spans="1:7" x14ac:dyDescent="0.25">
      <c r="A45" s="12"/>
      <c r="B45" s="12"/>
      <c r="C45" s="12"/>
      <c r="D45" s="12"/>
      <c r="E45" s="12"/>
      <c r="F45" s="12"/>
      <c r="G45" s="24"/>
    </row>
    <row r="46" spans="1:7" x14ac:dyDescent="0.25">
      <c r="A46" s="12"/>
      <c r="B46" s="12"/>
      <c r="C46" s="12"/>
      <c r="D46" s="12"/>
      <c r="E46" s="12"/>
      <c r="F46" s="12"/>
      <c r="G46" s="24"/>
    </row>
    <row r="47" spans="1:7" x14ac:dyDescent="0.25">
      <c r="A47" s="12"/>
      <c r="B47" s="12"/>
      <c r="C47" s="12"/>
      <c r="D47" s="12"/>
      <c r="E47" s="12"/>
      <c r="F47" s="12"/>
      <c r="G47" s="24"/>
    </row>
    <row r="48" spans="1:7" x14ac:dyDescent="0.25">
      <c r="A48" s="12"/>
      <c r="B48" s="12"/>
      <c r="C48" s="12"/>
      <c r="D48" s="12"/>
      <c r="E48" s="12"/>
      <c r="F48" s="12"/>
      <c r="G48" s="24"/>
    </row>
    <row r="49" spans="1:7" x14ac:dyDescent="0.25">
      <c r="A49" s="12"/>
      <c r="B49" s="12"/>
      <c r="C49" s="12"/>
      <c r="D49" s="12"/>
      <c r="E49" s="12"/>
      <c r="F49" s="12"/>
      <c r="G49" s="24"/>
    </row>
    <row r="50" spans="1:7" x14ac:dyDescent="0.25">
      <c r="A50" s="12"/>
      <c r="B50" s="12"/>
      <c r="C50" s="12"/>
      <c r="D50" s="12"/>
      <c r="E50" s="12"/>
      <c r="F50" s="12"/>
      <c r="G50" s="24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51"/>
  <sheetViews>
    <sheetView workbookViewId="0">
      <selection activeCell="A13" sqref="A13"/>
    </sheetView>
  </sheetViews>
  <sheetFormatPr defaultColWidth="11.42578125" defaultRowHeight="15" x14ac:dyDescent="0.25"/>
  <cols>
    <col min="1" max="1" width="24.5703125" customWidth="1"/>
    <col min="2" max="2" width="14.5703125" bestFit="1" customWidth="1"/>
    <col min="3" max="3" width="13.7109375" bestFit="1" customWidth="1"/>
    <col min="4" max="4" width="13.85546875" bestFit="1" customWidth="1"/>
    <col min="5" max="5" width="16.140625" bestFit="1" customWidth="1"/>
    <col min="6" max="6" width="16.28515625" bestFit="1" customWidth="1"/>
    <col min="7" max="7" width="13.5703125" bestFit="1" customWidth="1"/>
    <col min="8" max="8" width="18.140625" customWidth="1"/>
    <col min="9" max="9" width="17.5703125" bestFit="1" customWidth="1"/>
    <col min="10" max="10" width="12" bestFit="1" customWidth="1"/>
  </cols>
  <sheetData>
    <row r="1" spans="1:9" x14ac:dyDescent="0.25">
      <c r="A1" s="1" t="s">
        <v>10</v>
      </c>
      <c r="B1" s="1" t="s">
        <v>9</v>
      </c>
      <c r="C1" s="1" t="str">
        <f>"Spool Price ["&amp;General!B5&amp;"]"</f>
        <v>Spool Price [$]</v>
      </c>
      <c r="D1" s="1" t="s">
        <v>8</v>
      </c>
      <c r="E1" s="1" t="s">
        <v>14</v>
      </c>
      <c r="F1" s="1" t="s">
        <v>11</v>
      </c>
      <c r="G1" s="1" t="s">
        <v>12</v>
      </c>
      <c r="H1" s="1" t="s">
        <v>13</v>
      </c>
      <c r="I1" s="1" t="str">
        <f>"Price ["&amp;General!B5&amp;"/kg]"</f>
        <v>Price [$/kg]</v>
      </c>
    </row>
    <row r="2" spans="1:9" x14ac:dyDescent="0.25">
      <c r="A2" s="12" t="s">
        <v>55</v>
      </c>
      <c r="B2" s="12">
        <v>1.75</v>
      </c>
      <c r="C2" s="29">
        <v>24.99</v>
      </c>
      <c r="D2" s="22">
        <v>1</v>
      </c>
      <c r="E2" s="22">
        <v>1.31</v>
      </c>
      <c r="F2" s="12"/>
      <c r="G2" s="12"/>
      <c r="H2" s="23">
        <f t="shared" ref="H2:H12" si="0">D2/E2*4/(PI()*(B2/100)^2)/10</f>
        <v>317.3677008219754</v>
      </c>
      <c r="I2" s="3">
        <f t="shared" ref="I2:I12" si="1">C2/D2</f>
        <v>24.99</v>
      </c>
    </row>
    <row r="3" spans="1:9" x14ac:dyDescent="0.25">
      <c r="A3" s="12" t="s">
        <v>56</v>
      </c>
      <c r="B3" s="12">
        <v>1.75</v>
      </c>
      <c r="C3" s="29">
        <v>24.99</v>
      </c>
      <c r="D3" s="22">
        <v>1</v>
      </c>
      <c r="E3" s="22">
        <v>1.31</v>
      </c>
      <c r="F3" s="12"/>
      <c r="G3" s="12"/>
      <c r="H3" s="23">
        <f t="shared" si="0"/>
        <v>317.3677008219754</v>
      </c>
      <c r="I3" s="3">
        <f t="shared" si="1"/>
        <v>24.99</v>
      </c>
    </row>
    <row r="4" spans="1:9" x14ac:dyDescent="0.25">
      <c r="A4" s="12" t="s">
        <v>58</v>
      </c>
      <c r="B4" s="12">
        <v>1.75</v>
      </c>
      <c r="C4" s="29">
        <v>24.99</v>
      </c>
      <c r="D4" s="22">
        <v>1</v>
      </c>
      <c r="E4" s="22">
        <v>1.31</v>
      </c>
      <c r="F4" s="12"/>
      <c r="G4" s="12"/>
      <c r="H4" s="23">
        <f t="shared" si="0"/>
        <v>317.3677008219754</v>
      </c>
      <c r="I4" s="3">
        <f t="shared" si="1"/>
        <v>24.99</v>
      </c>
    </row>
    <row r="5" spans="1:9" x14ac:dyDescent="0.25">
      <c r="A5" s="12" t="s">
        <v>57</v>
      </c>
      <c r="B5" s="12">
        <v>1.75</v>
      </c>
      <c r="C5" s="29">
        <v>24.99</v>
      </c>
      <c r="D5" s="22">
        <v>1</v>
      </c>
      <c r="E5" s="22">
        <v>1.31</v>
      </c>
      <c r="F5" s="12"/>
      <c r="G5" s="12"/>
      <c r="H5" s="23">
        <f t="shared" si="0"/>
        <v>317.3677008219754</v>
      </c>
      <c r="I5" s="3">
        <f t="shared" si="1"/>
        <v>24.99</v>
      </c>
    </row>
    <row r="6" spans="1:9" x14ac:dyDescent="0.25">
      <c r="A6" s="12" t="s">
        <v>59</v>
      </c>
      <c r="B6" s="12">
        <v>1.75</v>
      </c>
      <c r="C6" s="29">
        <v>24.99</v>
      </c>
      <c r="D6" s="22">
        <v>1</v>
      </c>
      <c r="E6" s="22">
        <v>1.31</v>
      </c>
      <c r="F6" s="12"/>
      <c r="G6" s="12"/>
      <c r="H6" s="23">
        <f t="shared" si="0"/>
        <v>317.3677008219754</v>
      </c>
      <c r="I6" s="3">
        <f t="shared" si="1"/>
        <v>24.99</v>
      </c>
    </row>
    <row r="7" spans="1:9" x14ac:dyDescent="0.25">
      <c r="A7" s="12" t="s">
        <v>62</v>
      </c>
      <c r="B7" s="12">
        <v>1.75</v>
      </c>
      <c r="C7" s="29">
        <v>24.99</v>
      </c>
      <c r="D7" s="22">
        <v>1</v>
      </c>
      <c r="E7" s="22">
        <v>1.31</v>
      </c>
      <c r="F7" s="12"/>
      <c r="G7" s="12"/>
      <c r="H7" s="23">
        <f t="shared" si="0"/>
        <v>317.3677008219754</v>
      </c>
      <c r="I7" s="3">
        <f t="shared" si="1"/>
        <v>24.99</v>
      </c>
    </row>
    <row r="8" spans="1:9" x14ac:dyDescent="0.25">
      <c r="A8" s="12" t="s">
        <v>63</v>
      </c>
      <c r="B8" s="12">
        <v>1.75</v>
      </c>
      <c r="C8" s="29">
        <v>24.99</v>
      </c>
      <c r="D8" s="22">
        <v>1</v>
      </c>
      <c r="E8" s="22">
        <v>1.31</v>
      </c>
      <c r="F8" s="12"/>
      <c r="G8" s="12"/>
      <c r="H8" s="23">
        <f t="shared" si="0"/>
        <v>317.3677008219754</v>
      </c>
      <c r="I8" s="3">
        <f t="shared" si="1"/>
        <v>24.99</v>
      </c>
    </row>
    <row r="9" spans="1:9" x14ac:dyDescent="0.25">
      <c r="A9" s="12" t="s">
        <v>64</v>
      </c>
      <c r="B9" s="12">
        <v>1.75</v>
      </c>
      <c r="C9" s="29">
        <v>24.99</v>
      </c>
      <c r="D9" s="22">
        <v>1</v>
      </c>
      <c r="E9" s="22">
        <v>1.31</v>
      </c>
      <c r="F9" s="12"/>
      <c r="G9" s="12"/>
      <c r="H9" s="23">
        <f t="shared" si="0"/>
        <v>317.3677008219754</v>
      </c>
      <c r="I9" s="3">
        <f t="shared" si="1"/>
        <v>24.99</v>
      </c>
    </row>
    <row r="10" spans="1:9" x14ac:dyDescent="0.25">
      <c r="A10" s="12" t="s">
        <v>65</v>
      </c>
      <c r="B10" s="12">
        <v>1.75</v>
      </c>
      <c r="C10" s="29">
        <v>24.99</v>
      </c>
      <c r="D10" s="22">
        <v>1</v>
      </c>
      <c r="E10" s="22">
        <v>1.31</v>
      </c>
      <c r="F10" s="12"/>
      <c r="G10" s="12"/>
      <c r="H10" s="23">
        <f t="shared" si="0"/>
        <v>317.3677008219754</v>
      </c>
      <c r="I10" s="3">
        <f t="shared" si="1"/>
        <v>24.99</v>
      </c>
    </row>
    <row r="11" spans="1:9" x14ac:dyDescent="0.25">
      <c r="A11" s="12" t="s">
        <v>60</v>
      </c>
      <c r="B11" s="12">
        <v>1.75</v>
      </c>
      <c r="C11" s="29">
        <v>34.99</v>
      </c>
      <c r="D11" s="22">
        <v>1</v>
      </c>
      <c r="E11" s="22">
        <v>1.25</v>
      </c>
      <c r="F11" s="12"/>
      <c r="G11" s="12"/>
      <c r="H11" s="23">
        <f t="shared" si="0"/>
        <v>332.60135046143023</v>
      </c>
      <c r="I11" s="3">
        <f t="shared" si="1"/>
        <v>34.99</v>
      </c>
    </row>
    <row r="12" spans="1:9" x14ac:dyDescent="0.25">
      <c r="A12" s="12" t="s">
        <v>61</v>
      </c>
      <c r="B12" s="12">
        <v>1.75</v>
      </c>
      <c r="C12" s="29">
        <v>34.99</v>
      </c>
      <c r="D12" s="22">
        <v>1</v>
      </c>
      <c r="E12" s="22">
        <v>1.25</v>
      </c>
      <c r="F12" s="12"/>
      <c r="G12" s="12"/>
      <c r="H12" s="23">
        <f t="shared" si="0"/>
        <v>332.60135046143023</v>
      </c>
      <c r="I12" s="3">
        <f t="shared" si="1"/>
        <v>34.99</v>
      </c>
    </row>
    <row r="13" spans="1:9" x14ac:dyDescent="0.25">
      <c r="A13" s="12"/>
      <c r="B13" s="12"/>
      <c r="C13" s="29"/>
      <c r="D13" s="22"/>
      <c r="E13" s="22"/>
      <c r="F13" s="12"/>
      <c r="G13" s="12"/>
      <c r="H13" s="23"/>
      <c r="I13" s="3"/>
    </row>
    <row r="14" spans="1:9" x14ac:dyDescent="0.25">
      <c r="A14" s="12"/>
      <c r="B14" s="12"/>
      <c r="C14" s="29"/>
      <c r="D14" s="22"/>
      <c r="E14" s="22"/>
      <c r="F14" s="12"/>
      <c r="G14" s="12"/>
      <c r="H14" s="23"/>
      <c r="I14" s="3"/>
    </row>
    <row r="15" spans="1:9" x14ac:dyDescent="0.25">
      <c r="A15" s="12"/>
      <c r="B15" s="12"/>
      <c r="C15" s="29"/>
      <c r="D15" s="22"/>
      <c r="E15" s="22"/>
      <c r="F15" s="12"/>
      <c r="G15" s="12"/>
      <c r="H15" s="23"/>
      <c r="I15" s="3"/>
    </row>
    <row r="16" spans="1:9" x14ac:dyDescent="0.25">
      <c r="A16" s="12"/>
      <c r="B16" s="12"/>
      <c r="C16" s="29"/>
      <c r="D16" s="22"/>
      <c r="E16" s="22"/>
      <c r="F16" s="12"/>
      <c r="G16" s="12"/>
      <c r="H16" s="23"/>
      <c r="I16" s="3"/>
    </row>
    <row r="17" spans="1:9" x14ac:dyDescent="0.25">
      <c r="A17" s="12"/>
      <c r="B17" s="12"/>
      <c r="C17" s="29"/>
      <c r="D17" s="22"/>
      <c r="E17" s="22"/>
      <c r="F17" s="12"/>
      <c r="G17" s="12"/>
      <c r="H17" s="23"/>
      <c r="I17" s="3"/>
    </row>
    <row r="18" spans="1:9" x14ac:dyDescent="0.25">
      <c r="A18" s="12"/>
      <c r="B18" s="12"/>
      <c r="C18" s="29"/>
      <c r="D18" s="22"/>
      <c r="E18" s="22"/>
      <c r="F18" s="12"/>
      <c r="G18" s="12"/>
      <c r="H18" s="23"/>
      <c r="I18" s="3"/>
    </row>
    <row r="19" spans="1:9" x14ac:dyDescent="0.25">
      <c r="A19" s="12"/>
      <c r="B19" s="12"/>
      <c r="C19" s="29"/>
      <c r="D19" s="22"/>
      <c r="E19" s="22"/>
      <c r="F19" s="12"/>
      <c r="G19" s="12"/>
      <c r="H19" s="23"/>
      <c r="I19" s="3"/>
    </row>
    <row r="20" spans="1:9" x14ac:dyDescent="0.25">
      <c r="A20" s="12"/>
      <c r="B20" s="12"/>
      <c r="C20" s="29"/>
      <c r="D20" s="22"/>
      <c r="E20" s="22"/>
      <c r="F20" s="12"/>
      <c r="G20" s="12"/>
      <c r="H20" s="23"/>
      <c r="I20" s="3"/>
    </row>
    <row r="21" spans="1:9" x14ac:dyDescent="0.25">
      <c r="A21" s="12"/>
      <c r="B21" s="12"/>
      <c r="C21" s="29"/>
      <c r="D21" s="22"/>
      <c r="E21" s="22"/>
      <c r="F21" s="12"/>
      <c r="G21" s="12"/>
      <c r="H21" s="23"/>
      <c r="I21" s="3"/>
    </row>
    <row r="22" spans="1:9" x14ac:dyDescent="0.25">
      <c r="A22" s="12"/>
      <c r="B22" s="12"/>
      <c r="C22" s="29"/>
      <c r="D22" s="22"/>
      <c r="E22" s="22"/>
      <c r="F22" s="12"/>
      <c r="G22" s="12"/>
      <c r="H22" s="23"/>
      <c r="I22" s="3"/>
    </row>
    <row r="23" spans="1:9" x14ac:dyDescent="0.25">
      <c r="A23" s="12"/>
      <c r="B23" s="12"/>
      <c r="C23" s="29"/>
      <c r="D23" s="22"/>
      <c r="E23" s="22"/>
      <c r="F23" s="12"/>
      <c r="G23" s="12"/>
      <c r="H23" s="23"/>
      <c r="I23" s="3"/>
    </row>
    <row r="24" spans="1:9" x14ac:dyDescent="0.25">
      <c r="A24" s="12"/>
      <c r="B24" s="12"/>
      <c r="C24" s="29"/>
      <c r="D24" s="22"/>
      <c r="E24" s="22"/>
      <c r="F24" s="12"/>
      <c r="G24" s="12"/>
      <c r="H24" s="23"/>
      <c r="I24" s="3"/>
    </row>
    <row r="25" spans="1:9" x14ac:dyDescent="0.25">
      <c r="A25" s="12"/>
      <c r="B25" s="12"/>
      <c r="C25" s="29"/>
      <c r="D25" s="22"/>
      <c r="E25" s="22"/>
      <c r="F25" s="12"/>
      <c r="G25" s="12"/>
      <c r="H25" s="23"/>
      <c r="I25" s="3"/>
    </row>
    <row r="26" spans="1:9" x14ac:dyDescent="0.25">
      <c r="A26" s="12"/>
      <c r="B26" s="12"/>
      <c r="C26" s="29"/>
      <c r="D26" s="22"/>
      <c r="E26" s="22"/>
      <c r="F26" s="12"/>
      <c r="G26" s="12"/>
      <c r="H26" s="23"/>
      <c r="I26" s="3"/>
    </row>
    <row r="27" spans="1:9" x14ac:dyDescent="0.25">
      <c r="A27" s="12"/>
      <c r="B27" s="12"/>
      <c r="C27" s="29"/>
      <c r="D27" s="22"/>
      <c r="E27" s="22"/>
      <c r="F27" s="12"/>
      <c r="G27" s="12"/>
      <c r="H27" s="23"/>
    </row>
    <row r="28" spans="1:9" x14ac:dyDescent="0.25">
      <c r="A28" s="12"/>
      <c r="B28" s="12"/>
      <c r="C28" s="29"/>
      <c r="D28" s="22"/>
      <c r="E28" s="22"/>
      <c r="F28" s="12"/>
      <c r="G28" s="12"/>
      <c r="H28" s="23"/>
    </row>
    <row r="29" spans="1:9" x14ac:dyDescent="0.25">
      <c r="A29" s="12"/>
      <c r="B29" s="12"/>
      <c r="C29" s="29"/>
      <c r="D29" s="22"/>
      <c r="E29" s="22"/>
      <c r="F29" s="12"/>
      <c r="G29" s="12"/>
      <c r="H29" s="23"/>
    </row>
    <row r="30" spans="1:9" x14ac:dyDescent="0.25">
      <c r="A30" s="12"/>
      <c r="B30" s="12"/>
      <c r="C30" s="29"/>
      <c r="D30" s="22"/>
      <c r="E30" s="22"/>
      <c r="F30" s="12"/>
      <c r="G30" s="12"/>
      <c r="H30" s="23"/>
    </row>
    <row r="31" spans="1:9" x14ac:dyDescent="0.25">
      <c r="A31" s="12"/>
      <c r="B31" s="12"/>
      <c r="C31" s="29"/>
      <c r="D31" s="22"/>
      <c r="E31" s="22"/>
      <c r="F31" s="12"/>
      <c r="G31" s="12"/>
      <c r="H31" s="23"/>
    </row>
    <row r="32" spans="1:9" x14ac:dyDescent="0.25">
      <c r="A32" s="12"/>
      <c r="B32" s="12"/>
      <c r="C32" s="29"/>
      <c r="D32" s="22"/>
      <c r="E32" s="22"/>
      <c r="F32" s="12"/>
      <c r="G32" s="12"/>
      <c r="H32" s="24"/>
    </row>
    <row r="33" spans="1:8" x14ac:dyDescent="0.25">
      <c r="A33" s="12"/>
      <c r="B33" s="12"/>
      <c r="C33" s="29"/>
      <c r="D33" s="22"/>
      <c r="E33" s="22"/>
      <c r="F33" s="12"/>
      <c r="G33" s="12"/>
      <c r="H33" s="24"/>
    </row>
    <row r="34" spans="1:8" x14ac:dyDescent="0.25">
      <c r="A34" s="12"/>
      <c r="B34" s="12"/>
      <c r="C34" s="29"/>
      <c r="D34" s="22"/>
      <c r="E34" s="22"/>
      <c r="F34" s="12"/>
      <c r="G34" s="12"/>
      <c r="H34" s="24"/>
    </row>
    <row r="35" spans="1:8" x14ac:dyDescent="0.25">
      <c r="A35" s="12"/>
      <c r="B35" s="12"/>
      <c r="C35" s="29"/>
      <c r="D35" s="22"/>
      <c r="E35" s="22"/>
      <c r="F35" s="12"/>
      <c r="G35" s="12"/>
      <c r="H35" s="24"/>
    </row>
    <row r="36" spans="1:8" x14ac:dyDescent="0.25">
      <c r="A36" s="12"/>
      <c r="B36" s="12"/>
      <c r="C36" s="29"/>
      <c r="D36" s="22"/>
      <c r="E36" s="22"/>
      <c r="F36" s="12"/>
      <c r="G36" s="12"/>
      <c r="H36" s="24"/>
    </row>
    <row r="37" spans="1:8" x14ac:dyDescent="0.25">
      <c r="A37" s="12"/>
      <c r="B37" s="12"/>
      <c r="C37" s="29"/>
      <c r="D37" s="22"/>
      <c r="E37" s="22"/>
      <c r="F37" s="12"/>
      <c r="G37" s="12"/>
      <c r="H37" s="24"/>
    </row>
    <row r="38" spans="1:8" x14ac:dyDescent="0.25">
      <c r="A38" s="12"/>
      <c r="B38" s="12"/>
      <c r="C38" s="30"/>
      <c r="D38" s="22"/>
      <c r="E38" s="22"/>
      <c r="F38" s="12"/>
      <c r="G38" s="12"/>
      <c r="H38" s="24"/>
    </row>
    <row r="39" spans="1:8" x14ac:dyDescent="0.25">
      <c r="A39" s="12"/>
      <c r="B39" s="12"/>
      <c r="C39" s="30"/>
      <c r="D39" s="22"/>
      <c r="E39" s="12"/>
      <c r="F39" s="12"/>
      <c r="G39" s="12"/>
      <c r="H39" s="24"/>
    </row>
    <row r="40" spans="1:8" x14ac:dyDescent="0.25">
      <c r="A40" s="12"/>
      <c r="B40" s="12"/>
      <c r="C40" s="30"/>
      <c r="D40" s="12"/>
      <c r="E40" s="12"/>
      <c r="F40" s="12"/>
      <c r="G40" s="12"/>
      <c r="H40" s="24"/>
    </row>
    <row r="41" spans="1:8" x14ac:dyDescent="0.25">
      <c r="A41" s="12"/>
      <c r="B41" s="12"/>
      <c r="C41" s="30"/>
      <c r="D41" s="12"/>
      <c r="E41" s="12"/>
      <c r="F41" s="12"/>
      <c r="G41" s="12"/>
      <c r="H41" s="24"/>
    </row>
    <row r="42" spans="1:8" x14ac:dyDescent="0.25">
      <c r="A42" s="12"/>
      <c r="B42" s="12"/>
      <c r="C42" s="30"/>
      <c r="D42" s="12"/>
      <c r="E42" s="12"/>
      <c r="F42" s="12"/>
      <c r="G42" s="12"/>
      <c r="H42" s="24"/>
    </row>
    <row r="43" spans="1:8" x14ac:dyDescent="0.25">
      <c r="A43" s="12"/>
      <c r="B43" s="12"/>
      <c r="C43" s="30"/>
      <c r="D43" s="12"/>
      <c r="E43" s="12"/>
      <c r="F43" s="12"/>
      <c r="G43" s="12"/>
      <c r="H43" s="24"/>
    </row>
    <row r="44" spans="1:8" x14ac:dyDescent="0.25">
      <c r="A44" s="12"/>
      <c r="B44" s="12"/>
      <c r="C44" s="30"/>
      <c r="D44" s="12"/>
      <c r="E44" s="12"/>
      <c r="F44" s="12"/>
      <c r="G44" s="12"/>
      <c r="H44" s="24"/>
    </row>
    <row r="45" spans="1:8" x14ac:dyDescent="0.25">
      <c r="A45" s="12"/>
      <c r="B45" s="12"/>
      <c r="C45" s="30"/>
      <c r="D45" s="12"/>
      <c r="E45" s="12"/>
      <c r="F45" s="12"/>
      <c r="G45" s="12"/>
      <c r="H45" s="24"/>
    </row>
    <row r="46" spans="1:8" x14ac:dyDescent="0.25">
      <c r="A46" s="12"/>
      <c r="B46" s="12"/>
      <c r="C46" s="30"/>
      <c r="D46" s="12"/>
      <c r="E46" s="12"/>
      <c r="F46" s="12"/>
      <c r="G46" s="12"/>
      <c r="H46" s="24"/>
    </row>
    <row r="47" spans="1:8" x14ac:dyDescent="0.25">
      <c r="A47" s="12"/>
      <c r="B47" s="12"/>
      <c r="C47" s="30"/>
      <c r="D47" s="12"/>
      <c r="E47" s="12"/>
      <c r="F47" s="12"/>
      <c r="G47" s="12"/>
      <c r="H47" s="24"/>
    </row>
    <row r="48" spans="1:8" x14ac:dyDescent="0.25">
      <c r="A48" s="12"/>
      <c r="B48" s="12"/>
      <c r="C48" s="30"/>
      <c r="D48" s="12"/>
      <c r="E48" s="12"/>
      <c r="F48" s="12"/>
      <c r="G48" s="12"/>
      <c r="H48" s="24"/>
    </row>
    <row r="49" spans="1:8" x14ac:dyDescent="0.25">
      <c r="A49" s="12"/>
      <c r="B49" s="12"/>
      <c r="C49" s="30"/>
      <c r="D49" s="12"/>
      <c r="E49" s="12"/>
      <c r="F49" s="12"/>
      <c r="G49" s="12"/>
      <c r="H49" s="24"/>
    </row>
    <row r="50" spans="1:8" x14ac:dyDescent="0.25">
      <c r="A50" s="12"/>
      <c r="B50" s="12"/>
      <c r="C50" s="30"/>
      <c r="D50" s="12"/>
      <c r="E50" s="12"/>
      <c r="F50" s="12"/>
      <c r="G50" s="12"/>
      <c r="H50" s="24"/>
    </row>
    <row r="51" spans="1:8" x14ac:dyDescent="0.25">
      <c r="A51" s="12"/>
      <c r="B51" s="12"/>
      <c r="C51" s="30"/>
      <c r="D51" s="12"/>
      <c r="E51" s="12"/>
      <c r="F51" s="12"/>
      <c r="G51" s="12"/>
      <c r="H51" s="24"/>
    </row>
  </sheetData>
  <conditionalFormatting sqref="I2:I3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C5"/>
  <sheetViews>
    <sheetView workbookViewId="0">
      <selection activeCell="B5" sqref="B5"/>
    </sheetView>
  </sheetViews>
  <sheetFormatPr defaultColWidth="11.42578125" defaultRowHeight="15" x14ac:dyDescent="0.25"/>
  <sheetData>
    <row r="2" spans="1:3" x14ac:dyDescent="0.25">
      <c r="A2" s="1" t="s">
        <v>5</v>
      </c>
      <c r="B2" s="12">
        <v>0.26</v>
      </c>
      <c r="C2" s="4" t="str">
        <f>B5&amp;"/kWh"</f>
        <v>$/kWh</v>
      </c>
    </row>
    <row r="3" spans="1:3" x14ac:dyDescent="0.25">
      <c r="A3" s="1" t="s">
        <v>6</v>
      </c>
      <c r="B3" s="12">
        <v>85</v>
      </c>
      <c r="C3" s="4" t="str">
        <f>B5&amp;"/h"</f>
        <v>$/h</v>
      </c>
    </row>
    <row r="4" spans="1:3" x14ac:dyDescent="0.25">
      <c r="A4" s="1" t="s">
        <v>34</v>
      </c>
      <c r="B4" s="12">
        <v>0</v>
      </c>
      <c r="C4" t="s">
        <v>35</v>
      </c>
    </row>
    <row r="5" spans="1:3" x14ac:dyDescent="0.25">
      <c r="A5" s="1" t="s">
        <v>15</v>
      </c>
      <c r="B5" s="27" t="s">
        <v>66</v>
      </c>
      <c r="C5" s="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Quote</vt:lpstr>
      <vt:lpstr>Printers</vt:lpstr>
      <vt:lpstr>Materials</vt:lpstr>
      <vt:lpstr>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Alan W. Van Art</cp:lastModifiedBy>
  <cp:lastPrinted>2024-06-14T15:27:53Z</cp:lastPrinted>
  <dcterms:created xsi:type="dcterms:W3CDTF">2017-09-02T12:20:02Z</dcterms:created>
  <dcterms:modified xsi:type="dcterms:W3CDTF">2024-06-17T17:04:06Z</dcterms:modified>
</cp:coreProperties>
</file>